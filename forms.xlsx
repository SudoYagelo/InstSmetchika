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А101\ИИ\"/>
    </mc:Choice>
  </mc:AlternateContent>
  <xr:revisionPtr revIDLastSave="0" documentId="13_ncr:1_{438435DA-B4F5-4926-AF0E-17C9F5BE5971}" xr6:coauthVersionLast="47" xr6:coauthVersionMax="47" xr10:uidLastSave="{00000000-0000-0000-0000-000000000000}"/>
  <bookViews>
    <workbookView xWindow="-108" yWindow="-108" windowWidth="23256" windowHeight="12456" xr2:uid="{84169EA1-6674-4B7A-843E-6506855345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C19" i="1"/>
</calcChain>
</file>

<file path=xl/sharedStrings.xml><?xml version="1.0" encoding="utf-8"?>
<sst xmlns="http://schemas.openxmlformats.org/spreadsheetml/2006/main" count="98" uniqueCount="51">
  <si>
    <t>N</t>
  </si>
  <si>
    <t>Поз.</t>
  </si>
  <si>
    <t>Код статьи</t>
  </si>
  <si>
    <t>Наименование позиции, тип марка</t>
  </si>
  <si>
    <t>Тип марка</t>
  </si>
  <si>
    <t>Кодификатор КВР</t>
  </si>
  <si>
    <t>Вид работы наименование</t>
  </si>
  <si>
    <t>КВР</t>
  </si>
  <si>
    <t>Код головной номенклатуры</t>
  </si>
  <si>
    <t>Головная номенклатура (ССОМ)</t>
  </si>
  <si>
    <t>Ед.изм</t>
  </si>
  <si>
    <t>Ед.изм КВР</t>
  </si>
  <si>
    <t>Количество</t>
  </si>
  <si>
    <t>Цена работ (БЕЗ НДС)</t>
  </si>
  <si>
    <t>Стоимость прочих материалов</t>
  </si>
  <si>
    <t>Цена индикатив</t>
  </si>
  <si>
    <t>Коэффициент пересчета</t>
  </si>
  <si>
    <t>Количество с коэффициентом пересчета</t>
  </si>
  <si>
    <t>Уверенность</t>
  </si>
  <si>
    <t>Примечание</t>
  </si>
  <si>
    <t>Завод, код изделия</t>
  </si>
  <si>
    <t>Код изделия</t>
  </si>
  <si>
    <t>Помещение</t>
  </si>
  <si>
    <t>Тип</t>
  </si>
  <si>
    <t>Выходная форма</t>
  </si>
  <si>
    <t>Плоский вид спецификации в форме "Обработка спецификации"</t>
  </si>
  <si>
    <t>Объект строительства</t>
  </si>
  <si>
    <t>Раздел</t>
  </si>
  <si>
    <t>Входная форма</t>
  </si>
  <si>
    <t>Позиция</t>
  </si>
  <si>
    <t>Наименование и техническая характеристика</t>
  </si>
  <si>
    <t>Завод-изготовитель</t>
  </si>
  <si>
    <t>Единица измерения</t>
  </si>
  <si>
    <t>Корпус 18.1.1</t>
  </si>
  <si>
    <t>Общеобменная вентиляция МОП</t>
  </si>
  <si>
    <t>В2.1</t>
  </si>
  <si>
    <t>1</t>
  </si>
  <si>
    <t>Канальный вентилятор для круглых каналов (L=60 м3/ч, Р=100 Па, N=0,06 кВт)</t>
  </si>
  <si>
    <t>WNK 100/1</t>
  </si>
  <si>
    <t>KORF</t>
  </si>
  <si>
    <t>шт.</t>
  </si>
  <si>
    <t>Тип, марка,
обозначение
документа,
опросного листа</t>
  </si>
  <si>
    <t>Встроенно-пристроенное нежилое помещение, Дом 18.1.1.1</t>
  </si>
  <si>
    <t>2.2.2.5.4.</t>
  </si>
  <si>
    <t>Вентиляционные работы</t>
  </si>
  <si>
    <t>Установка вентилятора канального</t>
  </si>
  <si>
    <t>шт</t>
  </si>
  <si>
    <t>г02.13.147.000</t>
  </si>
  <si>
    <t xml:space="preserve">00-0072872 </t>
  </si>
  <si>
    <t>Вентилятор канальный</t>
  </si>
  <si>
    <t>Получено из журнала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</si>
</sst>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4D4D4D"/>
      <name val="Arial"/>
      <family val="2"/>
      <charset val="204"/>
    </font>
    <font>
      <b/>
      <sz val="9.4"/>
      <color rgb="FF000000"/>
      <name val="ISOCPEUR"/>
      <family val="2"/>
    </font>
    <font>
      <sz val="9.4"/>
      <color rgb="FF000000"/>
      <name val="ISOCPEUR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rgb="FFFFFFFF"/>
      </patternFill>
    </fill>
    <fill>
      <patternFill patternType="solid">
        <fgColor rgb="FFFCD5B4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1" fillId="7" borderId="0" xfId="0" applyFont="1" applyFill="1"/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66EB-64AF-401B-AA7C-AFF8FD99257D}">
  <dimension ref="A2:Z22"/>
  <sheetViews>
    <sheetView tabSelected="1" zoomScale="70" zoomScaleNormal="70" workbookViewId="0">
      <selection activeCell="C24" sqref="C24"/>
    </sheetView>
  </sheetViews>
  <sheetFormatPr defaultRowHeight="14.4"/>
  <cols>
    <col min="1" max="1" width="5.6640625" customWidth="1"/>
    <col min="2" max="2" width="17.44140625" customWidth="1"/>
    <col min="3" max="3" width="24.33203125" customWidth="1"/>
    <col min="4" max="4" width="24.88671875" customWidth="1"/>
    <col min="5" max="5" width="13.44140625" customWidth="1"/>
    <col min="6" max="6" width="21.109375" customWidth="1"/>
    <col min="9" max="9" width="14" customWidth="1"/>
    <col min="10" max="10" width="17.77734375" customWidth="1"/>
    <col min="11" max="11" width="15.5546875" customWidth="1"/>
    <col min="12" max="12" width="12.21875" customWidth="1"/>
    <col min="14" max="14" width="20.6640625" customWidth="1"/>
    <col min="16" max="16" width="16.33203125" customWidth="1"/>
    <col min="17" max="18" width="16" customWidth="1"/>
    <col min="19" max="19" width="13.88671875" customWidth="1"/>
    <col min="20" max="20" width="16" customWidth="1"/>
    <col min="22" max="22" width="13.21875" customWidth="1"/>
    <col min="25" max="25" width="11.21875" customWidth="1"/>
  </cols>
  <sheetData>
    <row r="2" spans="1:26">
      <c r="A2" s="16" t="s">
        <v>28</v>
      </c>
      <c r="B2" s="16"/>
      <c r="C2" s="16"/>
      <c r="D2" s="16"/>
      <c r="E2" s="16"/>
      <c r="F2" s="16"/>
      <c r="G2" s="16"/>
    </row>
    <row r="4" spans="1:26" s="2" customFormat="1" ht="50.4">
      <c r="A4" s="5" t="s">
        <v>29</v>
      </c>
      <c r="B4" s="5" t="s">
        <v>30</v>
      </c>
      <c r="C4" s="6" t="s">
        <v>41</v>
      </c>
      <c r="D4" s="5" t="s">
        <v>21</v>
      </c>
      <c r="E4" s="5" t="s">
        <v>31</v>
      </c>
      <c r="F4" s="5" t="s">
        <v>32</v>
      </c>
      <c r="G4" s="5" t="s">
        <v>12</v>
      </c>
    </row>
    <row r="5" spans="1:26">
      <c r="A5" s="7"/>
      <c r="B5" s="8" t="s">
        <v>33</v>
      </c>
      <c r="C5" s="9"/>
      <c r="D5" s="7"/>
      <c r="E5" s="7"/>
      <c r="F5" s="7"/>
      <c r="G5" s="7"/>
    </row>
    <row r="6" spans="1:26">
      <c r="A6" s="10" t="s">
        <v>34</v>
      </c>
      <c r="B6" s="10"/>
      <c r="C6" s="10"/>
      <c r="D6" s="10"/>
      <c r="E6" s="10"/>
      <c r="F6" s="10"/>
      <c r="G6" s="11"/>
    </row>
    <row r="7" spans="1:26">
      <c r="A7" s="12" t="s">
        <v>35</v>
      </c>
      <c r="B7" s="12"/>
      <c r="C7" s="12"/>
      <c r="D7" s="12"/>
      <c r="E7" s="12"/>
      <c r="F7" s="12"/>
      <c r="G7" s="13"/>
    </row>
    <row r="8" spans="1:26" s="1" customFormat="1" ht="66" customHeight="1">
      <c r="A8" s="17" t="s">
        <v>36</v>
      </c>
      <c r="B8" s="18" t="s">
        <v>37</v>
      </c>
      <c r="C8" s="17" t="s">
        <v>38</v>
      </c>
      <c r="D8" s="17"/>
      <c r="E8" s="17" t="s">
        <v>39</v>
      </c>
      <c r="F8" s="17" t="s">
        <v>40</v>
      </c>
      <c r="G8" s="17">
        <v>1</v>
      </c>
    </row>
    <row r="9" spans="1:26">
      <c r="A9" s="14"/>
      <c r="B9" s="15"/>
      <c r="C9" s="14"/>
      <c r="D9" s="14"/>
      <c r="E9" s="14"/>
      <c r="F9" s="14"/>
      <c r="G9" s="14"/>
    </row>
    <row r="10" spans="1:26">
      <c r="A10" s="16" t="s">
        <v>25</v>
      </c>
      <c r="B10" s="16"/>
      <c r="C10" s="16"/>
      <c r="D10" s="16"/>
      <c r="E10" s="16"/>
      <c r="F10" s="16"/>
      <c r="G10" s="16"/>
    </row>
    <row r="12" spans="1:26" ht="25.2" customHeight="1">
      <c r="A12" s="20" t="s">
        <v>0</v>
      </c>
      <c r="B12" s="21" t="s">
        <v>1</v>
      </c>
      <c r="C12" s="22" t="s">
        <v>26</v>
      </c>
      <c r="D12" s="22" t="s">
        <v>3</v>
      </c>
      <c r="E12" s="22" t="s">
        <v>4</v>
      </c>
      <c r="F12" s="22" t="s">
        <v>20</v>
      </c>
      <c r="G12" s="22" t="s">
        <v>21</v>
      </c>
      <c r="H12" s="22" t="s">
        <v>2</v>
      </c>
      <c r="I12" s="22" t="s">
        <v>27</v>
      </c>
      <c r="J12" s="22" t="s">
        <v>6</v>
      </c>
      <c r="K12" s="22" t="s">
        <v>7</v>
      </c>
      <c r="L12" s="22" t="s">
        <v>10</v>
      </c>
      <c r="M12" s="22" t="s">
        <v>11</v>
      </c>
      <c r="N12" s="22" t="s">
        <v>5</v>
      </c>
      <c r="O12" s="22" t="s">
        <v>8</v>
      </c>
      <c r="P12" s="22" t="s">
        <v>9</v>
      </c>
      <c r="Q12" s="22" t="s">
        <v>12</v>
      </c>
      <c r="R12" s="22" t="s">
        <v>13</v>
      </c>
      <c r="S12" s="22" t="s">
        <v>14</v>
      </c>
      <c r="T12" s="22" t="s">
        <v>15</v>
      </c>
      <c r="U12" s="22" t="s">
        <v>16</v>
      </c>
      <c r="V12" s="22" t="s">
        <v>17</v>
      </c>
      <c r="W12" s="22" t="s">
        <v>19</v>
      </c>
      <c r="X12" s="22" t="s">
        <v>18</v>
      </c>
      <c r="Y12" s="22" t="s">
        <v>22</v>
      </c>
      <c r="Z12" s="22" t="s">
        <v>23</v>
      </c>
    </row>
    <row r="13" spans="1:26" s="25" customFormat="1" ht="64.8" customHeight="1">
      <c r="A13" s="23">
        <v>1</v>
      </c>
      <c r="B13" s="23" t="s">
        <v>36</v>
      </c>
      <c r="C13" s="24" t="s">
        <v>42</v>
      </c>
      <c r="D13" s="24" t="s">
        <v>37</v>
      </c>
      <c r="E13" s="24" t="s">
        <v>38</v>
      </c>
      <c r="F13" s="24" t="s">
        <v>39</v>
      </c>
      <c r="G13" s="24"/>
      <c r="H13" s="24" t="s">
        <v>43</v>
      </c>
      <c r="I13" s="24" t="s">
        <v>44</v>
      </c>
      <c r="J13" s="24" t="s">
        <v>45</v>
      </c>
      <c r="K13" s="24" t="s">
        <v>45</v>
      </c>
      <c r="L13" s="24" t="s">
        <v>40</v>
      </c>
      <c r="M13" s="24" t="s">
        <v>46</v>
      </c>
      <c r="N13" s="24" t="s">
        <v>47</v>
      </c>
      <c r="O13" s="24" t="s">
        <v>48</v>
      </c>
      <c r="P13" s="24" t="s">
        <v>49</v>
      </c>
      <c r="Q13" s="24" t="s">
        <v>36</v>
      </c>
      <c r="R13" s="24">
        <v>19560</v>
      </c>
      <c r="S13" s="24"/>
      <c r="T13" s="24">
        <v>8299.7800000000007</v>
      </c>
      <c r="U13" s="24"/>
      <c r="V13" s="24"/>
      <c r="W13" s="24" t="s">
        <v>50</v>
      </c>
      <c r="X13" s="24">
        <v>1</v>
      </c>
      <c r="Y13" s="24" t="s">
        <v>34</v>
      </c>
      <c r="Z13" s="24" t="s">
        <v>35</v>
      </c>
    </row>
    <row r="16" spans="1:26">
      <c r="A16" s="16" t="s">
        <v>24</v>
      </c>
      <c r="B16" s="16"/>
      <c r="C16" s="16"/>
      <c r="D16" s="16"/>
      <c r="E16" s="16"/>
      <c r="F16" s="16"/>
      <c r="G16" s="16"/>
    </row>
    <row r="18" spans="1:22" ht="25.2" customHeight="1">
      <c r="A18" s="4" t="s">
        <v>0</v>
      </c>
      <c r="B18" s="3" t="s">
        <v>1</v>
      </c>
      <c r="C18" s="3" t="s">
        <v>3</v>
      </c>
      <c r="D18" s="3" t="s">
        <v>4</v>
      </c>
      <c r="E18" s="3" t="s">
        <v>21</v>
      </c>
      <c r="F18" s="3" t="s">
        <v>20</v>
      </c>
      <c r="G18" s="3" t="s">
        <v>10</v>
      </c>
      <c r="H18" s="3" t="s">
        <v>12</v>
      </c>
      <c r="I18" s="3" t="s">
        <v>2</v>
      </c>
      <c r="J18" s="3" t="s">
        <v>5</v>
      </c>
      <c r="K18" s="3" t="s">
        <v>6</v>
      </c>
      <c r="L18" s="3" t="s">
        <v>7</v>
      </c>
      <c r="M18" s="3" t="s">
        <v>8</v>
      </c>
      <c r="N18" s="3" t="s">
        <v>9</v>
      </c>
      <c r="O18" s="3" t="s">
        <v>11</v>
      </c>
      <c r="P18" s="3" t="s">
        <v>16</v>
      </c>
      <c r="Q18" s="3" t="s">
        <v>17</v>
      </c>
      <c r="R18" s="3" t="s">
        <v>13</v>
      </c>
      <c r="S18" s="3" t="s">
        <v>14</v>
      </c>
      <c r="T18" s="3" t="s">
        <v>15</v>
      </c>
      <c r="U18" s="3" t="s">
        <v>18</v>
      </c>
      <c r="V18" s="3" t="s">
        <v>19</v>
      </c>
    </row>
    <row r="19" spans="1:22">
      <c r="A19" s="19"/>
      <c r="B19" s="19"/>
      <c r="C19" s="19" t="str">
        <f>C13</f>
        <v>Встроенно-пристроенное нежилое помещение, Дом 18.1.1.1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>
      <c r="A20" s="19"/>
      <c r="B20" s="19" t="str">
        <f>A6</f>
        <v>Общеобменная вентиляция МОП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>
      <c r="A21" s="19"/>
      <c r="B21" s="19" t="str">
        <f>A7</f>
        <v>В2.1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ht="52.8">
      <c r="A22" s="23">
        <v>1</v>
      </c>
      <c r="B22" s="23" t="s">
        <v>36</v>
      </c>
      <c r="C22" s="24" t="s">
        <v>37</v>
      </c>
      <c r="D22" s="24" t="s">
        <v>38</v>
      </c>
      <c r="E22" s="24"/>
      <c r="F22" s="24" t="s">
        <v>39</v>
      </c>
      <c r="G22" s="24" t="s">
        <v>40</v>
      </c>
      <c r="H22" s="24" t="s">
        <v>36</v>
      </c>
      <c r="I22" s="24" t="s">
        <v>43</v>
      </c>
      <c r="J22" s="24" t="s">
        <v>47</v>
      </c>
      <c r="K22" s="24" t="s">
        <v>45</v>
      </c>
      <c r="L22" s="24" t="s">
        <v>45</v>
      </c>
      <c r="M22" s="24" t="s">
        <v>48</v>
      </c>
      <c r="N22" s="24" t="s">
        <v>49</v>
      </c>
      <c r="O22" s="24" t="s">
        <v>46</v>
      </c>
      <c r="R22" s="24">
        <v>19560</v>
      </c>
      <c r="S22" s="24"/>
      <c r="T22" s="24">
        <v>8299.7800000000007</v>
      </c>
      <c r="U22" s="24">
        <v>1</v>
      </c>
      <c r="V22" s="24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Catherina Rud</dc:creator>
  <cp:lastModifiedBy>Catherina Rud</cp:lastModifiedBy>
  <dcterms:created xsi:type="dcterms:W3CDTF">2025-12-05T06:57:30Z</dcterms:created>
  <dcterms:modified xsi:type="dcterms:W3CDTF">2025-12-05T08:13:45Z</dcterms:modified>
</cp:coreProperties>
</file>